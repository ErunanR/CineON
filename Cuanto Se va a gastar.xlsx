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shricos_udistrital_edu_co/Documents/2026-1/Formulacion Proyectos/Corte 1/"/>
    </mc:Choice>
  </mc:AlternateContent>
  <xr:revisionPtr revIDLastSave="8" documentId="8_{FE0C79A1-939A-41B0-B1E4-98E7B0300DE9}" xr6:coauthVersionLast="47" xr6:coauthVersionMax="47" xr10:uidLastSave="{836D4CB0-A688-4427-A786-9AF27E23A466}"/>
  <bookViews>
    <workbookView xWindow="-120" yWindow="-120" windowWidth="29040" windowHeight="15720" firstSheet="4" activeTab="4" xr2:uid="{0E24F24D-E529-425F-A057-1A484B65A9EC}"/>
  </bookViews>
  <sheets>
    <sheet name="Incial" sheetId="1" r:id="rId1"/>
    <sheet name="Eventos" sheetId="2" r:id="rId2"/>
    <sheet name="Por evento" sheetId="3" r:id="rId3"/>
    <sheet name="Ingresos Proyectados" sheetId="4" r:id="rId4"/>
    <sheet name="IPC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C13" i="5"/>
  <c r="C12" i="5"/>
  <c r="E12" i="5" s="1"/>
  <c r="F12" i="5" s="1"/>
  <c r="C11" i="5"/>
  <c r="E11" i="5" s="1"/>
  <c r="F11" i="5" s="1"/>
  <c r="C10" i="5"/>
  <c r="C9" i="5"/>
  <c r="C8" i="5"/>
  <c r="E8" i="5" s="1"/>
  <c r="F8" i="5" s="1"/>
  <c r="C7" i="5"/>
  <c r="C6" i="5"/>
  <c r="C5" i="5"/>
  <c r="C4" i="5"/>
  <c r="E4" i="5" s="1"/>
  <c r="F4" i="5" s="1"/>
  <c r="C3" i="5"/>
  <c r="C2" i="5"/>
  <c r="E13" i="5"/>
  <c r="F13" i="5" s="1"/>
  <c r="B13" i="5"/>
  <c r="A13" i="5"/>
  <c r="B12" i="5"/>
  <c r="A12" i="5"/>
  <c r="B11" i="5"/>
  <c r="A11" i="5"/>
  <c r="E10" i="5"/>
  <c r="F10" i="5" s="1"/>
  <c r="B10" i="5"/>
  <c r="A10" i="5"/>
  <c r="E9" i="5"/>
  <c r="F9" i="5" s="1"/>
  <c r="B9" i="5"/>
  <c r="A9" i="5"/>
  <c r="B8" i="5"/>
  <c r="A8" i="5"/>
  <c r="E7" i="5"/>
  <c r="F7" i="5" s="1"/>
  <c r="B7" i="5"/>
  <c r="A7" i="5"/>
  <c r="B6" i="5"/>
  <c r="A6" i="5"/>
  <c r="B5" i="5"/>
  <c r="A5" i="5"/>
  <c r="B4" i="5"/>
  <c r="A4" i="5"/>
  <c r="B3" i="5"/>
  <c r="A3" i="5"/>
  <c r="B2" i="5"/>
  <c r="A2" i="5"/>
  <c r="B1" i="5"/>
  <c r="A1" i="5"/>
  <c r="A13" i="4"/>
  <c r="B13" i="4"/>
  <c r="A2" i="4"/>
  <c r="B2" i="4"/>
  <c r="A3" i="4"/>
  <c r="B3" i="4"/>
  <c r="A4" i="4"/>
  <c r="B4" i="4"/>
  <c r="A5" i="4"/>
  <c r="B5" i="4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B1" i="4"/>
  <c r="A1" i="4"/>
  <c r="B3" i="3"/>
  <c r="P5" i="3"/>
  <c r="P3" i="3"/>
  <c r="P4" i="3"/>
  <c r="P2" i="3"/>
  <c r="P6" i="3" s="1"/>
  <c r="B4" i="3" s="1"/>
  <c r="H6" i="3"/>
  <c r="H4" i="3"/>
  <c r="E5" i="3"/>
  <c r="B2" i="3" s="1"/>
  <c r="D4" i="2"/>
  <c r="D5" i="2"/>
  <c r="D6" i="2"/>
  <c r="D7" i="2"/>
  <c r="D8" i="2"/>
  <c r="D9" i="2"/>
  <c r="D10" i="2"/>
  <c r="D11" i="2"/>
  <c r="D12" i="2"/>
  <c r="D13" i="2"/>
  <c r="D3" i="2"/>
  <c r="E2" i="5" l="1"/>
  <c r="E3" i="5"/>
  <c r="F3" i="5" s="1"/>
  <c r="E5" i="5"/>
  <c r="F5" i="5" s="1"/>
  <c r="E6" i="5"/>
  <c r="F6" i="5" s="1"/>
  <c r="B5" i="3"/>
  <c r="C6" i="4" s="1"/>
  <c r="D6" i="4" s="1"/>
  <c r="E6" i="4" s="1"/>
  <c r="C4" i="4"/>
  <c r="D4" i="4" s="1"/>
  <c r="E4" i="4" s="1"/>
  <c r="C10" i="4" l="1"/>
  <c r="D10" i="4" s="1"/>
  <c r="E10" i="4" s="1"/>
  <c r="C8" i="4"/>
  <c r="D8" i="4" s="1"/>
  <c r="E8" i="4" s="1"/>
  <c r="C5" i="4"/>
  <c r="D5" i="4" s="1"/>
  <c r="E5" i="4" s="1"/>
  <c r="C3" i="4"/>
  <c r="D3" i="4" s="1"/>
  <c r="E3" i="4" s="1"/>
  <c r="C2" i="4"/>
  <c r="D2" i="4" s="1"/>
  <c r="E2" i="4" s="1"/>
  <c r="C13" i="4"/>
  <c r="D13" i="4" s="1"/>
  <c r="E13" i="4" s="1"/>
  <c r="C12" i="4"/>
  <c r="D12" i="4" s="1"/>
  <c r="E12" i="4" s="1"/>
  <c r="C11" i="4"/>
  <c r="D11" i="4" s="1"/>
  <c r="E11" i="4" s="1"/>
  <c r="C9" i="4"/>
  <c r="D9" i="4" s="1"/>
  <c r="E9" i="4" s="1"/>
  <c r="C7" i="4"/>
  <c r="D7" i="4" s="1"/>
  <c r="E7" i="4" s="1"/>
</calcChain>
</file>

<file path=xl/sharedStrings.xml><?xml version="1.0" encoding="utf-8"?>
<sst xmlns="http://schemas.openxmlformats.org/spreadsheetml/2006/main" count="59" uniqueCount="53">
  <si>
    <t>Variable</t>
  </si>
  <si>
    <t>Valor</t>
  </si>
  <si>
    <t>Eventos por semana</t>
  </si>
  <si>
    <t>1 – 2</t>
  </si>
  <si>
    <t>Eventos por mes</t>
  </si>
  <si>
    <t>Eventos por año</t>
  </si>
  <si>
    <t>Año</t>
  </si>
  <si>
    <t>Eventos anuales</t>
  </si>
  <si>
    <t>Eventos mensuales</t>
  </si>
  <si>
    <t>Crecimiento</t>
  </si>
  <si>
    <t>Año base</t>
  </si>
  <si>
    <t>9 – 10</t>
  </si>
  <si>
    <t>12 – 13</t>
  </si>
  <si>
    <t>17 – 18</t>
  </si>
  <si>
    <t>Fuente de ingreso</t>
  </si>
  <si>
    <t>Valor promedio</t>
  </si>
  <si>
    <t>Concepto</t>
  </si>
  <si>
    <t>Valor estimado</t>
  </si>
  <si>
    <t>Equipo</t>
  </si>
  <si>
    <t>Rango de precios en el mercado</t>
  </si>
  <si>
    <t>Precio unitario</t>
  </si>
  <si>
    <t>Cantidad</t>
  </si>
  <si>
    <t>Ingreso</t>
  </si>
  <si>
    <t>Publicidad</t>
  </si>
  <si>
    <t>Proyección de video institucional</t>
  </si>
  <si>
    <t>Asistentes promedio</t>
  </si>
  <si>
    <t>Pantalla inflable para cine</t>
  </si>
  <si>
    <t>$150.000 – $350.000</t>
  </si>
  <si>
    <t>Pantalla inflable</t>
  </si>
  <si>
    <t>Venta de alimentos</t>
  </si>
  <si>
    <t>Activaciones de marca</t>
  </si>
  <si>
    <t>Porcentaje de consumo</t>
  </si>
  <si>
    <t>Proyector audiovisual</t>
  </si>
  <si>
    <t>$70.000 – $150.000</t>
  </si>
  <si>
    <t>Proyector</t>
  </si>
  <si>
    <t>Alquiler de equipos</t>
  </si>
  <si>
    <t>Menciones y presencia de marca</t>
  </si>
  <si>
    <t>Consumidores estimados</t>
  </si>
  <si>
    <t>Sistema de sonido</t>
  </si>
  <si>
    <t>$60.000 – $120.000</t>
  </si>
  <si>
    <t>Cabinas de sonido</t>
  </si>
  <si>
    <t>Total Ingreso Por evento</t>
  </si>
  <si>
    <t>Total Ingreso Por Publicidad</t>
  </si>
  <si>
    <t>Gasto promedio</t>
  </si>
  <si>
    <t>Sillas para eventos</t>
  </si>
  <si>
    <t>$800 – $2.000 por unidad</t>
  </si>
  <si>
    <t>Sillas</t>
  </si>
  <si>
    <t>Ingreso estimado</t>
  </si>
  <si>
    <t>Total Ingresos Por Equipos</t>
  </si>
  <si>
    <t>Valor Promedio por evento</t>
  </si>
  <si>
    <t>Ingresos Anuales</t>
  </si>
  <si>
    <t>Ingresos Mensuales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</si>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</sst>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_-&quot;$&quot;\ * #,##0.00_-;\-&quot;$&quot;\ * #,##0.00_-;_-&quot;$&quot;\ * &quot;-&quot;??_-;_-@_-"/>
    <numFmt numFmtId="166" formatCode="0.0%"/>
    <numFmt numFmtId="167" formatCode="_-&quot;$&quot;\ * #,##0_-;\-&quot;$&quot;\ * #,##0_-;_-&quot;$&quot;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masis MT Pro Light"/>
      <family val="1"/>
    </font>
    <font>
      <sz val="11"/>
      <color theme="1"/>
      <name val="Amasis MT Pro Light"/>
      <family val="1"/>
    </font>
    <font>
      <b/>
      <sz val="9"/>
      <color theme="1"/>
      <name val="Amasis MT Pro Light"/>
      <family val="1"/>
    </font>
    <font>
      <sz val="9"/>
      <color theme="1"/>
      <name val="Amasis MT Pro Light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7" fontId="2" fillId="0" borderId="1" xfId="1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67" fontId="3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7" fontId="5" fillId="0" borderId="1" xfId="1" applyNumberFormat="1" applyFont="1" applyBorder="1" applyAlignment="1">
      <alignment horizontal="center" vertical="center"/>
    </xf>
    <xf numFmtId="9" fontId="5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Proyección de eventos CINEON (2026–2037)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Eventos!$A$2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Eventos!$B$2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4-412A-A5F5-59B3D11753ED}"/>
            </c:ext>
          </c:extLst>
        </c:ser>
        <c:ser>
          <c:idx val="1"/>
          <c:order val="1"/>
          <c:tx>
            <c:strRef>
              <c:f>Eventos!$A$3</c:f>
              <c:strCache>
                <c:ptCount val="1"/>
                <c:pt idx="0">
                  <c:v>2027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Eventos!$B$3</c:f>
              <c:numCache>
                <c:formatCode>General</c:formatCode>
                <c:ptCount val="1"/>
                <c:pt idx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84-412A-A5F5-59B3D11753ED}"/>
            </c:ext>
          </c:extLst>
        </c:ser>
        <c:ser>
          <c:idx val="2"/>
          <c:order val="2"/>
          <c:tx>
            <c:strRef>
              <c:f>Eventos!$A$4</c:f>
              <c:strCache>
                <c:ptCount val="1"/>
                <c:pt idx="0">
                  <c:v>2028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Eventos!$B$4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84-412A-A5F5-59B3D11753ED}"/>
            </c:ext>
          </c:extLst>
        </c:ser>
        <c:ser>
          <c:idx val="3"/>
          <c:order val="3"/>
          <c:tx>
            <c:strRef>
              <c:f>Eventos!$A$5</c:f>
              <c:strCache>
                <c:ptCount val="1"/>
                <c:pt idx="0">
                  <c:v>2029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Eventos!$B$5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84-412A-A5F5-59B3D11753ED}"/>
            </c:ext>
          </c:extLst>
        </c:ser>
        <c:ser>
          <c:idx val="4"/>
          <c:order val="4"/>
          <c:tx>
            <c:strRef>
              <c:f>Eventos!$A$6</c:f>
              <c:strCache>
                <c:ptCount val="1"/>
                <c:pt idx="0">
                  <c:v>2030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Eventos!$B$6</c:f>
              <c:numCache>
                <c:formatCode>General</c:formatCode>
                <c:ptCount val="1"/>
                <c:pt idx="0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84-412A-A5F5-59B3D11753ED}"/>
            </c:ext>
          </c:extLst>
        </c:ser>
        <c:ser>
          <c:idx val="5"/>
          <c:order val="5"/>
          <c:tx>
            <c:strRef>
              <c:f>Eventos!$A$7</c:f>
              <c:strCache>
                <c:ptCount val="1"/>
                <c:pt idx="0">
                  <c:v>2031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Eventos!$B$7</c:f>
              <c:numCache>
                <c:formatCode>General</c:formatCode>
                <c:ptCount val="1"/>
                <c:pt idx="0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84-412A-A5F5-59B3D11753ED}"/>
            </c:ext>
          </c:extLst>
        </c:ser>
        <c:ser>
          <c:idx val="6"/>
          <c:order val="6"/>
          <c:tx>
            <c:strRef>
              <c:f>Eventos!$A$8</c:f>
              <c:strCache>
                <c:ptCount val="1"/>
                <c:pt idx="0">
                  <c:v>2032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Eventos!$B$8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84-412A-A5F5-59B3D11753ED}"/>
            </c:ext>
          </c:extLst>
        </c:ser>
        <c:ser>
          <c:idx val="7"/>
          <c:order val="7"/>
          <c:tx>
            <c:strRef>
              <c:f>Eventos!$A$9</c:f>
              <c:strCache>
                <c:ptCount val="1"/>
                <c:pt idx="0">
                  <c:v>2033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Eventos!$B$9</c:f>
              <c:numCache>
                <c:formatCode>General</c:formatCode>
                <c:ptCount val="1"/>
                <c:pt idx="0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84-412A-A5F5-59B3D11753ED}"/>
            </c:ext>
          </c:extLst>
        </c:ser>
        <c:ser>
          <c:idx val="8"/>
          <c:order val="8"/>
          <c:tx>
            <c:strRef>
              <c:f>Eventos!$A$10</c:f>
              <c:strCache>
                <c:ptCount val="1"/>
                <c:pt idx="0">
                  <c:v>2034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Eventos!$B$10</c:f>
              <c:numCache>
                <c:formatCode>General</c:formatCode>
                <c:ptCount val="1"/>
                <c:pt idx="0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84-412A-A5F5-59B3D11753ED}"/>
            </c:ext>
          </c:extLst>
        </c:ser>
        <c:ser>
          <c:idx val="9"/>
          <c:order val="9"/>
          <c:tx>
            <c:strRef>
              <c:f>Eventos!$A$11</c:f>
              <c:strCache>
                <c:ptCount val="1"/>
                <c:pt idx="0">
                  <c:v>2035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Eventos!$B$11</c:f>
              <c:numCache>
                <c:formatCode>General</c:formatCode>
                <c:ptCount val="1"/>
                <c:pt idx="0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B84-412A-A5F5-59B3D11753ED}"/>
            </c:ext>
          </c:extLst>
        </c:ser>
        <c:ser>
          <c:idx val="10"/>
          <c:order val="10"/>
          <c:tx>
            <c:strRef>
              <c:f>Eventos!$A$12</c:f>
              <c:strCache>
                <c:ptCount val="1"/>
                <c:pt idx="0">
                  <c:v>2036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Eventos!$B$12</c:f>
              <c:numCache>
                <c:formatCode>General</c:formatCode>
                <c:ptCount val="1"/>
                <c:pt idx="0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84-412A-A5F5-59B3D11753ED}"/>
            </c:ext>
          </c:extLst>
        </c:ser>
        <c:ser>
          <c:idx val="11"/>
          <c:order val="11"/>
          <c:tx>
            <c:strRef>
              <c:f>Eventos!$A$13</c:f>
              <c:strCache>
                <c:ptCount val="1"/>
                <c:pt idx="0">
                  <c:v>2037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Eventos!$B$1</c:f>
              <c:strCache>
                <c:ptCount val="1"/>
                <c:pt idx="0">
                  <c:v>Eventos anuales</c:v>
                </c:pt>
              </c:strCache>
            </c:strRef>
          </c:cat>
          <c:val>
            <c:numRef>
              <c:f>Eventos!$B$13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B84-412A-A5F5-59B3D1175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16911552"/>
        <c:axId val="834398192"/>
      </c:barChart>
      <c:catAx>
        <c:axId val="81691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4398192"/>
        <c:crosses val="autoZero"/>
        <c:auto val="1"/>
        <c:lblAlgn val="ctr"/>
        <c:lblOffset val="100"/>
        <c:noMultiLvlLbl val="0"/>
      </c:catAx>
      <c:valAx>
        <c:axId val="83439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691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u="none" strike="noStrike" baseline="0"/>
              <a:t>Estructura de ingresos por evento CINEON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11526684164481"/>
          <c:y val="0.30064814814814816"/>
          <c:w val="0.39183333333333331"/>
          <c:h val="0.6530555555555555"/>
        </c:manualLayout>
      </c:layout>
      <c:pieChart>
        <c:varyColors val="1"/>
        <c:ser>
          <c:idx val="0"/>
          <c:order val="0"/>
          <c:tx>
            <c:strRef>
              <c:f>'Por evento'!$B$1</c:f>
              <c:strCache>
                <c:ptCount val="1"/>
                <c:pt idx="0">
                  <c:v>Valor promedio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954-4E37-8902-6888DFCEC8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954-4E37-8902-6888DFCEC8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954-4E37-8902-6888DFCEC89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 evento'!$A$2:$A$4</c:f>
              <c:strCache>
                <c:ptCount val="3"/>
                <c:pt idx="0">
                  <c:v>Publicidad</c:v>
                </c:pt>
                <c:pt idx="1">
                  <c:v>Venta de alimentos</c:v>
                </c:pt>
                <c:pt idx="2">
                  <c:v>Alquiler de equipos</c:v>
                </c:pt>
              </c:strCache>
            </c:strRef>
          </c:cat>
          <c:val>
            <c:numRef>
              <c:f>'Por evento'!$B$2:$B$4</c:f>
              <c:numCache>
                <c:formatCode>_-"$"\ * #,##0_-;\-"$"\ * #,##0_-;_-"$"\ * "-"??_-;_-@_-</c:formatCode>
                <c:ptCount val="3"/>
                <c:pt idx="0">
                  <c:v>3000000</c:v>
                </c:pt>
                <c:pt idx="1">
                  <c:v>1350000</c:v>
                </c:pt>
                <c:pt idx="2">
                  <c:v>870000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E-44C5-9D2E-E0F66707BCC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'Ingresos Proyectados'!$A$2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3.333333333333334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428-4FD1-8B36-C1AAE43AB846}"/>
                </c:ext>
              </c:extLst>
            </c:dLbl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Proyectados'!$D$2</c:f>
              <c:numCache>
                <c:formatCode>_-"$"\ * #,##0_-;\-"$"\ * #,##0_-;_-"$"\ * "-"??_-;_-@_-</c:formatCode>
                <c:ptCount val="1"/>
                <c:pt idx="0">
                  <c:v>313200000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8-4FD1-8B36-C1AAE43AB846}"/>
            </c:ext>
          </c:extLst>
        </c:ser>
        <c:ser>
          <c:idx val="1"/>
          <c:order val="1"/>
          <c:tx>
            <c:strRef>
              <c:f>'Ingresos Proyectados'!$A$3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6.3888888888888884E-2"/>
                  <c:y val="-0.171399517546958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428-4FD1-8B36-C1AAE43AB846}"/>
                </c:ext>
              </c:extLst>
            </c:dLbl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Proyectados'!$D$3</c:f>
              <c:numCache>
                <c:formatCode>_-"$"\ * #,##0_-;\-"$"\ * #,##0_-;_-"$"\ * "-"??_-;_-@_-</c:formatCode>
                <c:ptCount val="1"/>
                <c:pt idx="0">
                  <c:v>375840000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8-4FD1-8B36-C1AAE43AB846}"/>
            </c:ext>
          </c:extLst>
        </c:ser>
        <c:ser>
          <c:idx val="2"/>
          <c:order val="2"/>
          <c:tx>
            <c:strRef>
              <c:f>'Ingresos Proyectados'!$A$4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3.8888888888888917E-2"/>
                  <c:y val="-0.268311875756085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428-4FD1-8B36-C1AAE43AB846}"/>
                </c:ext>
              </c:extLst>
            </c:dLbl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Proyectados'!$D$4</c:f>
              <c:numCache>
                <c:formatCode>_-"$"\ * #,##0_-;\-"$"\ * #,##0_-;_-"$"\ * "-"??_-;_-@_-</c:formatCode>
                <c:ptCount val="1"/>
                <c:pt idx="0">
                  <c:v>438480000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28-4FD1-8B36-C1AAE43AB846}"/>
            </c:ext>
          </c:extLst>
        </c:ser>
        <c:ser>
          <c:idx val="3"/>
          <c:order val="3"/>
          <c:tx>
            <c:strRef>
              <c:f>'Ingresos Proyectados'!$A$5</c:f>
              <c:strCache>
                <c:ptCount val="1"/>
                <c:pt idx="0">
                  <c:v>2029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0"/>
                  <c:y val="-0.12818313029260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428-4FD1-8B36-C1AAE43AB846}"/>
                </c:ext>
              </c:extLst>
            </c:dLbl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Proyectados'!$D$5</c:f>
              <c:numCache>
                <c:formatCode>_-"$"\ * #,##0_-;\-"$"\ * #,##0_-;_-"$"\ * "-"??_-;_-@_-</c:formatCode>
                <c:ptCount val="1"/>
                <c:pt idx="0">
                  <c:v>522000000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28-4FD1-8B36-C1AAE43AB846}"/>
            </c:ext>
          </c:extLst>
        </c:ser>
        <c:ser>
          <c:idx val="4"/>
          <c:order val="4"/>
          <c:tx>
            <c:strRef>
              <c:f>'Ingresos Proyectados'!$A$6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0"/>
                  <c:y val="-0.201430633316944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428-4FD1-8B36-C1AAE43AB846}"/>
                </c:ext>
              </c:extLst>
            </c:dLbl>
            <c:spPr>
              <a:solidFill>
                <a:schemeClr val="accent5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Proyectados'!$D$6</c:f>
              <c:numCache>
                <c:formatCode>_-"$"\ * #,##0_-;\-"$"\ * #,##0_-;_-"$"\ * "-"??_-;_-@_-</c:formatCode>
                <c:ptCount val="1"/>
                <c:pt idx="0">
                  <c:v>600300000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28-4FD1-8B36-C1AAE43AB846}"/>
            </c:ext>
          </c:extLst>
        </c:ser>
        <c:ser>
          <c:idx val="5"/>
          <c:order val="5"/>
          <c:tx>
            <c:strRef>
              <c:f>'Ingresos Proyectados'!$A$7</c:f>
              <c:strCache>
                <c:ptCount val="1"/>
                <c:pt idx="0">
                  <c:v>2031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1.9444444444444393E-2"/>
                  <c:y val="-0.251788291646180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428-4FD1-8B36-C1AAE43AB846}"/>
                </c:ext>
              </c:extLst>
            </c:dLbl>
            <c:spPr>
              <a:solidFill>
                <a:schemeClr val="accent6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Proyectados'!$D$7</c:f>
              <c:numCache>
                <c:formatCode>_-"$"\ * #,##0_-;\-"$"\ * #,##0_-;_-"$"\ * "-"??_-;_-@_-</c:formatCode>
                <c:ptCount val="1"/>
                <c:pt idx="0">
                  <c:v>678600000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28-4FD1-8B36-C1AAE43AB846}"/>
            </c:ext>
          </c:extLst>
        </c:ser>
        <c:ser>
          <c:idx val="6"/>
          <c:order val="6"/>
          <c:tx>
            <c:strRef>
              <c:f>'Ingresos Proyectados'!$A$8</c:f>
              <c:strCache>
                <c:ptCount val="1"/>
                <c:pt idx="0">
                  <c:v>2032</c:v>
                </c:pt>
              </c:strCache>
            </c:strRef>
          </c:tx>
          <c:spPr>
            <a:solidFill>
              <a:schemeClr val="accent1">
                <a:lumMod val="60000"/>
                <a:alpha val="88000"/>
              </a:schemeClr>
            </a:solidFill>
            <a:ln>
              <a:solidFill>
                <a:schemeClr val="accent1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60000"/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4.4444444444444446E-2"/>
                  <c:y val="-0.13733906817064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428-4FD1-8B36-C1AAE43AB846}"/>
                </c:ext>
              </c:extLst>
            </c:dLbl>
            <c:spPr>
              <a:solidFill>
                <a:schemeClr val="accent1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Proyectados'!$D$8</c:f>
              <c:numCache>
                <c:formatCode>_-"$"\ * #,##0_-;\-"$"\ * #,##0_-;_-"$"\ * "-"??_-;_-@_-</c:formatCode>
                <c:ptCount val="1"/>
                <c:pt idx="0">
                  <c:v>783000000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28-4FD1-8B36-C1AAE43AB846}"/>
            </c:ext>
          </c:extLst>
        </c:ser>
        <c:ser>
          <c:idx val="7"/>
          <c:order val="7"/>
          <c:tx>
            <c:strRef>
              <c:f>'Ingresos Proyectados'!$A$9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2">
                <a:lumMod val="60000"/>
                <a:alpha val="88000"/>
              </a:schemeClr>
            </a:solidFill>
            <a:ln>
              <a:solidFill>
                <a:schemeClr val="accent2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60000"/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6.9444444444444448E-2"/>
                  <c:y val="-0.183118757560858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428-4FD1-8B36-C1AAE43AB846}"/>
                </c:ext>
              </c:extLst>
            </c:dLbl>
            <c:spPr>
              <a:solidFill>
                <a:schemeClr val="accent2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Proyectados'!$D$9</c:f>
              <c:numCache>
                <c:formatCode>_-"$"\ * #,##0_-;\-"$"\ * #,##0_-;_-"$"\ * "-"??_-;_-@_-</c:formatCode>
                <c:ptCount val="1"/>
                <c:pt idx="0">
                  <c:v>887400000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28-4FD1-8B36-C1AAE43AB846}"/>
            </c:ext>
          </c:extLst>
        </c:ser>
        <c:ser>
          <c:idx val="8"/>
          <c:order val="8"/>
          <c:tx>
            <c:strRef>
              <c:f>'Ingresos Proyectados'!$A$10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3">
                <a:lumMod val="60000"/>
                <a:alpha val="88000"/>
              </a:schemeClr>
            </a:solidFill>
            <a:ln>
              <a:solidFill>
                <a:schemeClr val="accent3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Proyectados'!$D$10</c:f>
              <c:numCache>
                <c:formatCode>_-"$"\ * #,##0_-;\-"$"\ * #,##0_-;_-"$"\ * "-"??_-;_-@_-</c:formatCode>
                <c:ptCount val="1"/>
                <c:pt idx="0">
                  <c:v>991800000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28-4FD1-8B36-C1AAE43AB846}"/>
            </c:ext>
          </c:extLst>
        </c:ser>
        <c:ser>
          <c:idx val="9"/>
          <c:order val="9"/>
          <c:tx>
            <c:strRef>
              <c:f>'Ingresos Proyectados'!$A$11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4">
                <a:lumMod val="60000"/>
                <a:alpha val="88000"/>
              </a:schemeClr>
            </a:solidFill>
            <a:ln>
              <a:solidFill>
                <a:schemeClr val="accent4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60000"/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8.611111111111111E-2"/>
                  <c:y val="-6.8669534085321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428-4FD1-8B36-C1AAE43AB846}"/>
                </c:ext>
              </c:extLst>
            </c:dLbl>
            <c:spPr>
              <a:solidFill>
                <a:schemeClr val="accent4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Proyectados'!$D$11</c:f>
              <c:numCache>
                <c:formatCode>_-"$"\ * #,##0_-;\-"$"\ * #,##0_-;_-"$"\ * "-"??_-;_-@_-</c:formatCode>
                <c:ptCount val="1"/>
                <c:pt idx="0">
                  <c:v>1096200000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28-4FD1-8B36-C1AAE43AB846}"/>
            </c:ext>
          </c:extLst>
        </c:ser>
        <c:ser>
          <c:idx val="10"/>
          <c:order val="10"/>
          <c:tx>
            <c:strRef>
              <c:f>'Ingresos Proyectados'!$A$12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5">
                <a:lumMod val="60000"/>
                <a:alpha val="88000"/>
              </a:schemeClr>
            </a:solidFill>
            <a:ln>
              <a:solidFill>
                <a:schemeClr val="accent5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60000"/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6.6666666666666666E-2"/>
                  <c:y val="-0.114449223475536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428-4FD1-8B36-C1AAE43AB846}"/>
                </c:ext>
              </c:extLst>
            </c:dLbl>
            <c:spPr>
              <a:solidFill>
                <a:schemeClr val="accent5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Proyectados'!$D$12</c:f>
              <c:numCache>
                <c:formatCode>_-"$"\ * #,##0_-;\-"$"\ * #,##0_-;_-"$"\ * "-"??_-;_-@_-</c:formatCode>
                <c:ptCount val="1"/>
                <c:pt idx="0">
                  <c:v>1200600000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28-4FD1-8B36-C1AAE43AB846}"/>
            </c:ext>
          </c:extLst>
        </c:ser>
        <c:ser>
          <c:idx val="11"/>
          <c:order val="11"/>
          <c:tx>
            <c:strRef>
              <c:f>'Ingresos Proyectados'!$A$13</c:f>
              <c:strCache>
                <c:ptCount val="1"/>
                <c:pt idx="0">
                  <c:v>2037</c:v>
                </c:pt>
              </c:strCache>
            </c:strRef>
          </c:tx>
          <c:spPr>
            <a:solidFill>
              <a:schemeClr val="accent6">
                <a:lumMod val="60000"/>
                <a:alpha val="88000"/>
              </a:schemeClr>
            </a:solidFill>
            <a:ln>
              <a:solidFill>
                <a:schemeClr val="accent6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60000"/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3.8888888888888785E-2"/>
                  <c:y val="-0.160228912865750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428-4FD1-8B36-C1AAE43AB846}"/>
                </c:ext>
              </c:extLst>
            </c:dLbl>
            <c:spPr>
              <a:solidFill>
                <a:schemeClr val="accent6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'Ingresos Proyectados'!$D$1</c:f>
              <c:strCache>
                <c:ptCount val="1"/>
                <c:pt idx="0">
                  <c:v>Ingresos Anuales</c:v>
                </c:pt>
              </c:strCache>
            </c:strRef>
          </c:cat>
          <c:val>
            <c:numRef>
              <c:f>'Ingresos Proyectados'!$D$13</c:f>
              <c:numCache>
                <c:formatCode>_-"$"\ * #,##0_-;\-"$"\ * #,##0_-;_-"$"\ * "-"??_-;_-@_-</c:formatCode>
                <c:ptCount val="1"/>
                <c:pt idx="0">
                  <c:v>1305000000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28-4FD1-8B36-C1AAE43AB8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72189151"/>
        <c:axId val="1272186751"/>
        <c:axId val="0"/>
      </c:bar3DChart>
      <c:catAx>
        <c:axId val="127218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2186751"/>
        <c:crosses val="autoZero"/>
        <c:auto val="1"/>
        <c:lblAlgn val="ctr"/>
        <c:lblOffset val="100"/>
        <c:noMultiLvlLbl val="0"/>
      </c:catAx>
      <c:valAx>
        <c:axId val="1272186751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out"/>
        <c:minorTickMark val="none"/>
        <c:tickLblPos val="nextTo"/>
        <c:crossAx val="127218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3</xdr:row>
      <xdr:rowOff>138112</xdr:rowOff>
    </xdr:from>
    <xdr:to>
      <xdr:col>12</xdr:col>
      <xdr:colOff>209550</xdr:colOff>
      <xdr:row>17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BF6B5D-8527-212E-1BAA-87CBFA495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9</xdr:row>
      <xdr:rowOff>166687</xdr:rowOff>
    </xdr:from>
    <xdr:to>
      <xdr:col>9</xdr:col>
      <xdr:colOff>19050</xdr:colOff>
      <xdr:row>24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6C85E5-47F3-59AD-0BDB-7D6F78611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681037</xdr:colOff>
      <xdr:row>5</xdr:row>
      <xdr:rowOff>76200</xdr:rowOff>
    </xdr:from>
    <xdr:to>
      <xdr:col>11</xdr:col>
      <xdr:colOff>681037</xdr:colOff>
      <xdr:row>19</xdr:row>
      <xdr:rowOff>16668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E7BC38-A6E4-F7B7-F6CA-F9923DF9F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A529-2A06-4500-BD62-7CE914A54D1B}">
  <dimension ref="A1:B4"/>
  <sheetViews>
    <sheetView workbookViewId="0">
      <selection sqref="A1:B4"/>
    </sheetView>
  </sheetViews>
  <sheetFormatPr defaultColWidth="11.42578125" defaultRowHeight="15"/>
  <sheetData>
    <row r="1" spans="1:2" ht="15.75">
      <c r="A1" s="1" t="s">
        <v>0</v>
      </c>
      <c r="B1" s="1" t="s">
        <v>1</v>
      </c>
    </row>
    <row r="2" spans="1:2" ht="31.5">
      <c r="A2" s="2" t="s">
        <v>2</v>
      </c>
      <c r="B2" s="2" t="s">
        <v>3</v>
      </c>
    </row>
    <row r="3" spans="1:2" ht="31.5">
      <c r="A3" s="2" t="s">
        <v>4</v>
      </c>
      <c r="B3" s="2">
        <v>5</v>
      </c>
    </row>
    <row r="4" spans="1:2" ht="31.5">
      <c r="A4" s="2" t="s">
        <v>5</v>
      </c>
      <c r="B4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E68F-D490-453D-ACF1-20E92C78FF4B}">
  <dimension ref="A1:D13"/>
  <sheetViews>
    <sheetView workbookViewId="0">
      <selection activeCell="E32" sqref="E32:F32"/>
    </sheetView>
  </sheetViews>
  <sheetFormatPr defaultColWidth="11.42578125" defaultRowHeight="15"/>
  <cols>
    <col min="4" max="4" width="13" customWidth="1"/>
  </cols>
  <sheetData>
    <row r="1" spans="1:4" ht="31.5">
      <c r="A1" s="1" t="s">
        <v>6</v>
      </c>
      <c r="B1" s="1" t="s">
        <v>7</v>
      </c>
      <c r="C1" s="1" t="s">
        <v>8</v>
      </c>
      <c r="D1" s="1" t="s">
        <v>9</v>
      </c>
    </row>
    <row r="2" spans="1:4" ht="15.75">
      <c r="A2" s="2">
        <v>2026</v>
      </c>
      <c r="B2" s="2">
        <v>60</v>
      </c>
      <c r="C2" s="2">
        <v>5</v>
      </c>
      <c r="D2" s="2" t="s">
        <v>10</v>
      </c>
    </row>
    <row r="3" spans="1:4" ht="15.75">
      <c r="A3" s="2">
        <v>2027</v>
      </c>
      <c r="B3" s="2">
        <v>72</v>
      </c>
      <c r="C3" s="2">
        <v>6</v>
      </c>
      <c r="D3" s="4">
        <f>+((B3*100%)/B2)-100%</f>
        <v>0.19999999999999996</v>
      </c>
    </row>
    <row r="4" spans="1:4" ht="15.75">
      <c r="A4" s="2">
        <v>2028</v>
      </c>
      <c r="B4" s="2">
        <v>84</v>
      </c>
      <c r="C4" s="2">
        <v>7</v>
      </c>
      <c r="D4" s="4">
        <f t="shared" ref="D4:D13" si="0">+((B4*100%)/B3)-100%</f>
        <v>0.16666666666666674</v>
      </c>
    </row>
    <row r="5" spans="1:4" ht="15.75">
      <c r="A5" s="2">
        <v>2029</v>
      </c>
      <c r="B5" s="2">
        <v>100</v>
      </c>
      <c r="C5" s="2">
        <v>8</v>
      </c>
      <c r="D5" s="4">
        <f t="shared" si="0"/>
        <v>0.19047619047619047</v>
      </c>
    </row>
    <row r="6" spans="1:4" ht="15.75">
      <c r="A6" s="2">
        <v>2030</v>
      </c>
      <c r="B6" s="2">
        <v>115</v>
      </c>
      <c r="C6" s="2" t="s">
        <v>11</v>
      </c>
      <c r="D6" s="4">
        <f t="shared" si="0"/>
        <v>0.14999999999999991</v>
      </c>
    </row>
    <row r="7" spans="1:4" ht="15.75">
      <c r="A7" s="2">
        <v>2031</v>
      </c>
      <c r="B7" s="2">
        <v>130</v>
      </c>
      <c r="C7" s="2">
        <v>11</v>
      </c>
      <c r="D7" s="4">
        <f t="shared" si="0"/>
        <v>0.13043478260869557</v>
      </c>
    </row>
    <row r="8" spans="1:4" ht="15.75">
      <c r="A8" s="2">
        <v>2032</v>
      </c>
      <c r="B8" s="2">
        <v>150</v>
      </c>
      <c r="C8" s="2" t="s">
        <v>12</v>
      </c>
      <c r="D8" s="4">
        <f t="shared" si="0"/>
        <v>0.15384615384615374</v>
      </c>
    </row>
    <row r="9" spans="1:4" ht="15.75">
      <c r="A9" s="2">
        <v>2033</v>
      </c>
      <c r="B9" s="2">
        <v>170</v>
      </c>
      <c r="C9" s="2">
        <v>14</v>
      </c>
      <c r="D9" s="4">
        <f t="shared" si="0"/>
        <v>0.1333333333333333</v>
      </c>
    </row>
    <row r="10" spans="1:4" ht="15.75">
      <c r="A10" s="2">
        <v>2034</v>
      </c>
      <c r="B10" s="2">
        <v>190</v>
      </c>
      <c r="C10" s="2">
        <v>16</v>
      </c>
      <c r="D10" s="4">
        <f t="shared" si="0"/>
        <v>0.11764705882352944</v>
      </c>
    </row>
    <row r="11" spans="1:4" ht="15.75">
      <c r="A11" s="2">
        <v>2035</v>
      </c>
      <c r="B11" s="2">
        <v>210</v>
      </c>
      <c r="C11" s="2" t="s">
        <v>13</v>
      </c>
      <c r="D11" s="4">
        <f t="shared" si="0"/>
        <v>0.10526315789473695</v>
      </c>
    </row>
    <row r="12" spans="1:4" ht="15.75">
      <c r="A12" s="2">
        <v>2036</v>
      </c>
      <c r="B12" s="2">
        <v>230</v>
      </c>
      <c r="C12" s="2">
        <v>19</v>
      </c>
      <c r="D12" s="4">
        <f t="shared" si="0"/>
        <v>9.5238095238095344E-2</v>
      </c>
    </row>
    <row r="13" spans="1:4" ht="15.75">
      <c r="A13" s="2">
        <v>2037</v>
      </c>
      <c r="B13" s="2">
        <v>250</v>
      </c>
      <c r="C13" s="2">
        <v>21</v>
      </c>
      <c r="D13" s="4">
        <f t="shared" si="0"/>
        <v>8.6956521739130377E-2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F66A-915E-40EA-B559-0B7FB03F0E5D}">
  <dimension ref="A1:P6"/>
  <sheetViews>
    <sheetView workbookViewId="0">
      <selection activeCell="K18" sqref="K18"/>
    </sheetView>
  </sheetViews>
  <sheetFormatPr defaultColWidth="11.42578125" defaultRowHeight="15"/>
  <cols>
    <col min="1" max="1" width="23.5703125" customWidth="1"/>
    <col min="2" max="2" width="27.5703125" customWidth="1"/>
    <col min="5" max="5" width="14.42578125" bestFit="1" customWidth="1"/>
    <col min="7" max="7" width="16" customWidth="1"/>
    <col min="8" max="8" width="12.42578125" bestFit="1" customWidth="1"/>
    <col min="11" max="11" width="22.140625" customWidth="1"/>
    <col min="14" max="14" width="11.7109375" bestFit="1" customWidth="1"/>
  </cols>
  <sheetData>
    <row r="1" spans="1:16" ht="31.5">
      <c r="A1" s="1" t="s">
        <v>14</v>
      </c>
      <c r="B1" s="1" t="s">
        <v>15</v>
      </c>
      <c r="D1" s="1" t="s">
        <v>16</v>
      </c>
      <c r="E1" s="1" t="s">
        <v>17</v>
      </c>
      <c r="G1" s="1" t="s">
        <v>0</v>
      </c>
      <c r="H1" s="1" t="s">
        <v>1</v>
      </c>
      <c r="J1" s="1" t="s">
        <v>18</v>
      </c>
      <c r="K1" s="1" t="s">
        <v>19</v>
      </c>
      <c r="M1" s="1" t="s">
        <v>18</v>
      </c>
      <c r="N1" s="1" t="s">
        <v>20</v>
      </c>
      <c r="O1" s="1" t="s">
        <v>21</v>
      </c>
      <c r="P1" s="1" t="s">
        <v>22</v>
      </c>
    </row>
    <row r="2" spans="1:16" ht="47.25">
      <c r="A2" s="2" t="s">
        <v>23</v>
      </c>
      <c r="B2" s="5">
        <f>+E5</f>
        <v>3000000</v>
      </c>
      <c r="D2" s="2" t="s">
        <v>24</v>
      </c>
      <c r="E2" s="5">
        <v>1500000</v>
      </c>
      <c r="G2" s="2" t="s">
        <v>25</v>
      </c>
      <c r="H2" s="2">
        <v>300</v>
      </c>
      <c r="J2" s="2" t="s">
        <v>26</v>
      </c>
      <c r="K2" s="2" t="s">
        <v>27</v>
      </c>
      <c r="M2" s="2" t="s">
        <v>28</v>
      </c>
      <c r="N2" s="7">
        <v>315000</v>
      </c>
      <c r="O2" s="2">
        <v>1</v>
      </c>
      <c r="P2" s="7">
        <f>+O2*N2</f>
        <v>315000</v>
      </c>
    </row>
    <row r="3" spans="1:16" ht="31.5">
      <c r="A3" s="2" t="s">
        <v>29</v>
      </c>
      <c r="B3" s="5">
        <f>+H6</f>
        <v>1350000</v>
      </c>
      <c r="D3" s="2" t="s">
        <v>30</v>
      </c>
      <c r="E3" s="5">
        <v>1000000</v>
      </c>
      <c r="G3" s="2" t="s">
        <v>31</v>
      </c>
      <c r="H3" s="3">
        <v>0.3</v>
      </c>
      <c r="J3" s="2" t="s">
        <v>32</v>
      </c>
      <c r="K3" s="2" t="s">
        <v>33</v>
      </c>
      <c r="M3" s="2" t="s">
        <v>34</v>
      </c>
      <c r="N3" s="7">
        <v>135000</v>
      </c>
      <c r="O3" s="2">
        <v>1</v>
      </c>
      <c r="P3" s="7">
        <f t="shared" ref="P3:P5" si="0">+O3*N3</f>
        <v>135000</v>
      </c>
    </row>
    <row r="4" spans="1:16" ht="47.25">
      <c r="A4" s="2" t="s">
        <v>35</v>
      </c>
      <c r="B4" s="5">
        <f>+P6</f>
        <v>870000</v>
      </c>
      <c r="D4" s="2" t="s">
        <v>36</v>
      </c>
      <c r="E4" s="5">
        <v>500000</v>
      </c>
      <c r="G4" s="2" t="s">
        <v>37</v>
      </c>
      <c r="H4" s="2">
        <f>+H2*H3</f>
        <v>90</v>
      </c>
      <c r="J4" s="2" t="s">
        <v>38</v>
      </c>
      <c r="K4" s="2" t="s">
        <v>39</v>
      </c>
      <c r="M4" s="2" t="s">
        <v>40</v>
      </c>
      <c r="N4" s="7">
        <v>120000</v>
      </c>
      <c r="O4" s="2">
        <v>1</v>
      </c>
      <c r="P4" s="7">
        <f t="shared" si="0"/>
        <v>120000</v>
      </c>
    </row>
    <row r="5" spans="1:16" ht="63">
      <c r="A5" s="1" t="s">
        <v>41</v>
      </c>
      <c r="B5" s="6">
        <f>SUM(B2:B4)</f>
        <v>5220000</v>
      </c>
      <c r="D5" s="1" t="s">
        <v>42</v>
      </c>
      <c r="E5" s="6">
        <f>SUM(E2:E4)</f>
        <v>3000000</v>
      </c>
      <c r="G5" s="2" t="s">
        <v>43</v>
      </c>
      <c r="H5" s="7">
        <v>15000</v>
      </c>
      <c r="J5" s="2" t="s">
        <v>44</v>
      </c>
      <c r="K5" s="2" t="s">
        <v>45</v>
      </c>
      <c r="M5" s="2" t="s">
        <v>46</v>
      </c>
      <c r="N5" s="7">
        <v>1000</v>
      </c>
      <c r="O5" s="2">
        <v>300</v>
      </c>
      <c r="P5" s="7">
        <f>+O5*N5</f>
        <v>300000</v>
      </c>
    </row>
    <row r="6" spans="1:16" ht="31.5">
      <c r="G6" s="1" t="s">
        <v>47</v>
      </c>
      <c r="H6" s="8">
        <f>+H5*H4</f>
        <v>1350000</v>
      </c>
      <c r="M6" s="18" t="s">
        <v>48</v>
      </c>
      <c r="N6" s="18"/>
      <c r="O6" s="18"/>
      <c r="P6" s="10">
        <f>SUM(P2:P5)</f>
        <v>870000</v>
      </c>
    </row>
  </sheetData>
  <mergeCells count="1">
    <mergeCell ref="M6:O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1812-CE3B-47B2-8B43-75943CCCA7DD}">
  <dimension ref="A1:E13"/>
  <sheetViews>
    <sheetView zoomScale="115" zoomScaleNormal="115" workbookViewId="0">
      <selection sqref="A1:E13"/>
    </sheetView>
  </sheetViews>
  <sheetFormatPr defaultColWidth="11.42578125" defaultRowHeight="15.75"/>
  <cols>
    <col min="1" max="1" width="5.140625" style="11" bestFit="1" customWidth="1"/>
    <col min="2" max="2" width="17.28515625" style="11" bestFit="1" customWidth="1"/>
    <col min="3" max="3" width="28.85546875" style="11" bestFit="1" customWidth="1"/>
    <col min="4" max="4" width="18.28515625" style="11" bestFit="1" customWidth="1"/>
    <col min="5" max="5" width="20.85546875" style="11" bestFit="1" customWidth="1"/>
    <col min="6" max="16384" width="11.42578125" style="11"/>
  </cols>
  <sheetData>
    <row r="1" spans="1:5">
      <c r="A1" s="9" t="str">
        <f>+Eventos!A1</f>
        <v>Año</v>
      </c>
      <c r="B1" s="9" t="str">
        <f>+Eventos!B1</f>
        <v>Eventos anuales</v>
      </c>
      <c r="C1" s="9" t="s">
        <v>49</v>
      </c>
      <c r="D1" s="9" t="s">
        <v>50</v>
      </c>
      <c r="E1" s="9" t="s">
        <v>51</v>
      </c>
    </row>
    <row r="2" spans="1:5">
      <c r="A2" s="12">
        <f>+Eventos!A2</f>
        <v>2026</v>
      </c>
      <c r="B2" s="12">
        <f>+Eventos!B2</f>
        <v>60</v>
      </c>
      <c r="C2" s="13">
        <f>+'Por evento'!$B$5</f>
        <v>5220000</v>
      </c>
      <c r="D2" s="13">
        <f>+C2*B2</f>
        <v>313200000</v>
      </c>
      <c r="E2" s="13">
        <f>+D2/12</f>
        <v>26100000</v>
      </c>
    </row>
    <row r="3" spans="1:5">
      <c r="A3" s="12">
        <f>+Eventos!A3</f>
        <v>2027</v>
      </c>
      <c r="B3" s="12">
        <f>+Eventos!B3</f>
        <v>72</v>
      </c>
      <c r="C3" s="13">
        <f>+'Por evento'!$B$5</f>
        <v>5220000</v>
      </c>
      <c r="D3" s="13">
        <f t="shared" ref="D3:D13" si="0">+C3*B3</f>
        <v>375840000</v>
      </c>
      <c r="E3" s="13">
        <f t="shared" ref="E3:E13" si="1">+D3/12</f>
        <v>31320000</v>
      </c>
    </row>
    <row r="4" spans="1:5">
      <c r="A4" s="12">
        <f>+Eventos!A4</f>
        <v>2028</v>
      </c>
      <c r="B4" s="12">
        <f>+Eventos!B4</f>
        <v>84</v>
      </c>
      <c r="C4" s="13">
        <f>+'Por evento'!$B$5</f>
        <v>5220000</v>
      </c>
      <c r="D4" s="13">
        <f t="shared" si="0"/>
        <v>438480000</v>
      </c>
      <c r="E4" s="13">
        <f t="shared" si="1"/>
        <v>36540000</v>
      </c>
    </row>
    <row r="5" spans="1:5">
      <c r="A5" s="12">
        <f>+Eventos!A5</f>
        <v>2029</v>
      </c>
      <c r="B5" s="12">
        <f>+Eventos!B5</f>
        <v>100</v>
      </c>
      <c r="C5" s="13">
        <f>+'Por evento'!$B$5</f>
        <v>5220000</v>
      </c>
      <c r="D5" s="13">
        <f t="shared" si="0"/>
        <v>522000000</v>
      </c>
      <c r="E5" s="13">
        <f t="shared" si="1"/>
        <v>43500000</v>
      </c>
    </row>
    <row r="6" spans="1:5">
      <c r="A6" s="12">
        <f>+Eventos!A6</f>
        <v>2030</v>
      </c>
      <c r="B6" s="12">
        <f>+Eventos!B6</f>
        <v>115</v>
      </c>
      <c r="C6" s="13">
        <f>+'Por evento'!$B$5</f>
        <v>5220000</v>
      </c>
      <c r="D6" s="13">
        <f t="shared" si="0"/>
        <v>600300000</v>
      </c>
      <c r="E6" s="13">
        <f t="shared" si="1"/>
        <v>50025000</v>
      </c>
    </row>
    <row r="7" spans="1:5">
      <c r="A7" s="12">
        <f>+Eventos!A7</f>
        <v>2031</v>
      </c>
      <c r="B7" s="12">
        <f>+Eventos!B7</f>
        <v>130</v>
      </c>
      <c r="C7" s="13">
        <f>+'Por evento'!$B$5</f>
        <v>5220000</v>
      </c>
      <c r="D7" s="13">
        <f t="shared" si="0"/>
        <v>678600000</v>
      </c>
      <c r="E7" s="13">
        <f t="shared" si="1"/>
        <v>56550000</v>
      </c>
    </row>
    <row r="8" spans="1:5">
      <c r="A8" s="12">
        <f>+Eventos!A8</f>
        <v>2032</v>
      </c>
      <c r="B8" s="12">
        <f>+Eventos!B8</f>
        <v>150</v>
      </c>
      <c r="C8" s="13">
        <f>+'Por evento'!$B$5</f>
        <v>5220000</v>
      </c>
      <c r="D8" s="13">
        <f t="shared" si="0"/>
        <v>783000000</v>
      </c>
      <c r="E8" s="13">
        <f t="shared" si="1"/>
        <v>65250000</v>
      </c>
    </row>
    <row r="9" spans="1:5">
      <c r="A9" s="12">
        <f>+Eventos!A9</f>
        <v>2033</v>
      </c>
      <c r="B9" s="12">
        <f>+Eventos!B9</f>
        <v>170</v>
      </c>
      <c r="C9" s="13">
        <f>+'Por evento'!$B$5</f>
        <v>5220000</v>
      </c>
      <c r="D9" s="13">
        <f t="shared" si="0"/>
        <v>887400000</v>
      </c>
      <c r="E9" s="13">
        <f t="shared" si="1"/>
        <v>73950000</v>
      </c>
    </row>
    <row r="10" spans="1:5">
      <c r="A10" s="12">
        <f>+Eventos!A10</f>
        <v>2034</v>
      </c>
      <c r="B10" s="12">
        <f>+Eventos!B10</f>
        <v>190</v>
      </c>
      <c r="C10" s="13">
        <f>+'Por evento'!$B$5</f>
        <v>5220000</v>
      </c>
      <c r="D10" s="13">
        <f t="shared" si="0"/>
        <v>991800000</v>
      </c>
      <c r="E10" s="13">
        <f t="shared" si="1"/>
        <v>82650000</v>
      </c>
    </row>
    <row r="11" spans="1:5">
      <c r="A11" s="12">
        <f>+Eventos!A11</f>
        <v>2035</v>
      </c>
      <c r="B11" s="12">
        <f>+Eventos!B11</f>
        <v>210</v>
      </c>
      <c r="C11" s="13">
        <f>+'Por evento'!$B$5</f>
        <v>5220000</v>
      </c>
      <c r="D11" s="13">
        <f t="shared" si="0"/>
        <v>1096200000</v>
      </c>
      <c r="E11" s="13">
        <f t="shared" si="1"/>
        <v>91350000</v>
      </c>
    </row>
    <row r="12" spans="1:5">
      <c r="A12" s="12">
        <f>+Eventos!A12</f>
        <v>2036</v>
      </c>
      <c r="B12" s="12">
        <f>+Eventos!B12</f>
        <v>230</v>
      </c>
      <c r="C12" s="13">
        <f>+'Por evento'!$B$5</f>
        <v>5220000</v>
      </c>
      <c r="D12" s="13">
        <f t="shared" si="0"/>
        <v>1200600000</v>
      </c>
      <c r="E12" s="13">
        <f t="shared" si="1"/>
        <v>100050000</v>
      </c>
    </row>
    <row r="13" spans="1:5">
      <c r="A13" s="12">
        <f>+Eventos!A13</f>
        <v>2037</v>
      </c>
      <c r="B13" s="12">
        <f>+Eventos!B13</f>
        <v>250</v>
      </c>
      <c r="C13" s="13">
        <f>+'Por evento'!$B$5</f>
        <v>5220000</v>
      </c>
      <c r="D13" s="13">
        <f t="shared" si="0"/>
        <v>1305000000</v>
      </c>
      <c r="E13" s="13">
        <f t="shared" si="1"/>
        <v>108750000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E192-E655-4D13-B0B6-9E87C296B77D}">
  <dimension ref="A1:F13"/>
  <sheetViews>
    <sheetView tabSelected="1" workbookViewId="0">
      <selection sqref="A1:F13"/>
    </sheetView>
  </sheetViews>
  <sheetFormatPr defaultColWidth="11.42578125" defaultRowHeight="15"/>
  <cols>
    <col min="1" max="1" width="5.140625" bestFit="1" customWidth="1"/>
    <col min="2" max="2" width="14.7109375" bestFit="1" customWidth="1"/>
    <col min="3" max="3" width="24" bestFit="1" customWidth="1"/>
    <col min="4" max="4" width="4.140625" bestFit="1" customWidth="1"/>
    <col min="5" max="5" width="15.42578125" bestFit="1" customWidth="1"/>
    <col min="6" max="6" width="17.7109375" bestFit="1" customWidth="1"/>
  </cols>
  <sheetData>
    <row r="1" spans="1:6">
      <c r="A1" s="14" t="str">
        <f>+Eventos!A1</f>
        <v>Año</v>
      </c>
      <c r="B1" s="14" t="str">
        <f>+Eventos!B1</f>
        <v>Eventos anuales</v>
      </c>
      <c r="C1" s="14" t="s">
        <v>49</v>
      </c>
      <c r="D1" s="14" t="s">
        <v>52</v>
      </c>
      <c r="E1" s="14" t="s">
        <v>50</v>
      </c>
      <c r="F1" s="14" t="s">
        <v>51</v>
      </c>
    </row>
    <row r="2" spans="1:6">
      <c r="A2" s="15">
        <f>+Eventos!A2</f>
        <v>2026</v>
      </c>
      <c r="B2" s="15">
        <f>+Eventos!B2</f>
        <v>60</v>
      </c>
      <c r="C2" s="16">
        <f>+'Por evento'!$B$5</f>
        <v>5220000</v>
      </c>
      <c r="D2" s="17">
        <v>0.05</v>
      </c>
      <c r="E2" s="16">
        <f>+C2*B2</f>
        <v>313200000</v>
      </c>
      <c r="F2" s="16">
        <f>+E2/12</f>
        <v>26100000</v>
      </c>
    </row>
    <row r="3" spans="1:6">
      <c r="A3" s="15">
        <f>+Eventos!A3</f>
        <v>2027</v>
      </c>
      <c r="B3" s="15">
        <f>+Eventos!B3</f>
        <v>72</v>
      </c>
      <c r="C3" s="16">
        <f>+C2+(C2*D3)</f>
        <v>5481000</v>
      </c>
      <c r="D3" s="17">
        <v>0.05</v>
      </c>
      <c r="E3" s="16">
        <f t="shared" ref="E3:E13" si="0">+C3*B3</f>
        <v>394632000</v>
      </c>
      <c r="F3" s="16">
        <f t="shared" ref="F3:F13" si="1">+E3/12</f>
        <v>32886000</v>
      </c>
    </row>
    <row r="4" spans="1:6">
      <c r="A4" s="15">
        <f>+Eventos!A4</f>
        <v>2028</v>
      </c>
      <c r="B4" s="15">
        <f>+Eventos!B4</f>
        <v>84</v>
      </c>
      <c r="C4" s="16">
        <f>+C3+(C3*D4)</f>
        <v>5755050</v>
      </c>
      <c r="D4" s="17">
        <v>0.05</v>
      </c>
      <c r="E4" s="16">
        <f t="shared" si="0"/>
        <v>483424200</v>
      </c>
      <c r="F4" s="16">
        <f t="shared" si="1"/>
        <v>40285350</v>
      </c>
    </row>
    <row r="5" spans="1:6">
      <c r="A5" s="15">
        <f>+Eventos!A5</f>
        <v>2029</v>
      </c>
      <c r="B5" s="15">
        <f>+Eventos!B5</f>
        <v>100</v>
      </c>
      <c r="C5" s="16">
        <f>+C4+(C4*D5)</f>
        <v>6042802.5</v>
      </c>
      <c r="D5" s="17">
        <v>0.05</v>
      </c>
      <c r="E5" s="16">
        <f t="shared" si="0"/>
        <v>604280250</v>
      </c>
      <c r="F5" s="16">
        <f t="shared" si="1"/>
        <v>50356687.5</v>
      </c>
    </row>
    <row r="6" spans="1:6">
      <c r="A6" s="15">
        <f>+Eventos!A6</f>
        <v>2030</v>
      </c>
      <c r="B6" s="15">
        <f>+Eventos!B6</f>
        <v>115</v>
      </c>
      <c r="C6" s="16">
        <f>+C5+(C5*D6)</f>
        <v>6344942.625</v>
      </c>
      <c r="D6" s="17">
        <v>0.05</v>
      </c>
      <c r="E6" s="16">
        <f t="shared" si="0"/>
        <v>729668401.875</v>
      </c>
      <c r="F6" s="16">
        <f t="shared" si="1"/>
        <v>60805700.15625</v>
      </c>
    </row>
    <row r="7" spans="1:6">
      <c r="A7" s="15">
        <f>+Eventos!A7</f>
        <v>2031</v>
      </c>
      <c r="B7" s="15">
        <f>+Eventos!B7</f>
        <v>130</v>
      </c>
      <c r="C7" s="16">
        <f>+C6+(C6*D7)</f>
        <v>6662189.7562499996</v>
      </c>
      <c r="D7" s="17">
        <v>0.05</v>
      </c>
      <c r="E7" s="16">
        <f t="shared" si="0"/>
        <v>866084668.3125</v>
      </c>
      <c r="F7" s="16">
        <f t="shared" si="1"/>
        <v>72173722.359375</v>
      </c>
    </row>
    <row r="8" spans="1:6">
      <c r="A8" s="15">
        <f>+Eventos!A8</f>
        <v>2032</v>
      </c>
      <c r="B8" s="15">
        <f>+Eventos!B8</f>
        <v>150</v>
      </c>
      <c r="C8" s="16">
        <f>+C7+(C7*D8)</f>
        <v>6995299.2440625001</v>
      </c>
      <c r="D8" s="17">
        <v>0.05</v>
      </c>
      <c r="E8" s="16">
        <f t="shared" si="0"/>
        <v>1049294886.609375</v>
      </c>
      <c r="F8" s="16">
        <f t="shared" si="1"/>
        <v>87441240.55078125</v>
      </c>
    </row>
    <row r="9" spans="1:6">
      <c r="A9" s="15">
        <f>+Eventos!A9</f>
        <v>2033</v>
      </c>
      <c r="B9" s="15">
        <f>+Eventos!B9</f>
        <v>170</v>
      </c>
      <c r="C9" s="16">
        <f>+C8+(C8*D9)</f>
        <v>7345064.2062656246</v>
      </c>
      <c r="D9" s="17">
        <v>0.05</v>
      </c>
      <c r="E9" s="16">
        <f t="shared" si="0"/>
        <v>1248660915.0651562</v>
      </c>
      <c r="F9" s="16">
        <f t="shared" si="1"/>
        <v>104055076.25542969</v>
      </c>
    </row>
    <row r="10" spans="1:6">
      <c r="A10" s="15">
        <f>+Eventos!A10</f>
        <v>2034</v>
      </c>
      <c r="B10" s="15">
        <f>+Eventos!B10</f>
        <v>190</v>
      </c>
      <c r="C10" s="16">
        <f>+C9+(C9*D10)</f>
        <v>7712317.4165789057</v>
      </c>
      <c r="D10" s="17">
        <v>0.05</v>
      </c>
      <c r="E10" s="16">
        <f t="shared" si="0"/>
        <v>1465340309.149992</v>
      </c>
      <c r="F10" s="16">
        <f t="shared" si="1"/>
        <v>122111692.429166</v>
      </c>
    </row>
    <row r="11" spans="1:6">
      <c r="A11" s="15">
        <f>+Eventos!A11</f>
        <v>2035</v>
      </c>
      <c r="B11" s="15">
        <f>+Eventos!B11</f>
        <v>210</v>
      </c>
      <c r="C11" s="16">
        <f>+C10+(C10*D11)</f>
        <v>8097933.2874078508</v>
      </c>
      <c r="D11" s="17">
        <v>0.05</v>
      </c>
      <c r="E11" s="16">
        <f t="shared" si="0"/>
        <v>1700565990.3556488</v>
      </c>
      <c r="F11" s="16">
        <f t="shared" si="1"/>
        <v>141713832.5296374</v>
      </c>
    </row>
    <row r="12" spans="1:6">
      <c r="A12" s="15">
        <f>+Eventos!A12</f>
        <v>2036</v>
      </c>
      <c r="B12" s="15">
        <f>+Eventos!B12</f>
        <v>230</v>
      </c>
      <c r="C12" s="16">
        <f>+C11+(C11*D12)</f>
        <v>8502829.9517782442</v>
      </c>
      <c r="D12" s="17">
        <v>0.05</v>
      </c>
      <c r="E12" s="16">
        <f t="shared" si="0"/>
        <v>1955650888.9089961</v>
      </c>
      <c r="F12" s="16">
        <f t="shared" si="1"/>
        <v>162970907.40908301</v>
      </c>
    </row>
    <row r="13" spans="1:6">
      <c r="A13" s="15">
        <f>+Eventos!A13</f>
        <v>2037</v>
      </c>
      <c r="B13" s="15">
        <f>+Eventos!B13</f>
        <v>250</v>
      </c>
      <c r="C13" s="16">
        <f>+C12+(C12*D13)</f>
        <v>8927971.4493671563</v>
      </c>
      <c r="D13" s="17">
        <v>0.05</v>
      </c>
      <c r="E13" s="16">
        <f t="shared" si="0"/>
        <v>2231992862.3417892</v>
      </c>
      <c r="F13" s="16">
        <f t="shared" si="1"/>
        <v>185999405.19514909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HERNAN RICO SIERRA</dc:creator>
  <cp:keywords/>
  <dc:description/>
  <cp:lastModifiedBy>LAURA DANIELA FIGUEROA LLANOS</cp:lastModifiedBy>
  <cp:revision/>
  <dcterms:created xsi:type="dcterms:W3CDTF">2026-03-15T04:43:13Z</dcterms:created>
  <dcterms:modified xsi:type="dcterms:W3CDTF">2026-03-16T02:40:06Z</dcterms:modified>
  <cp:category/>
  <cp:contentStatus/>
</cp:coreProperties>
</file>